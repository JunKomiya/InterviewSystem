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\Downloads\"/>
    </mc:Choice>
  </mc:AlternateContent>
  <xr:revisionPtr revIDLastSave="0" documentId="13_ncr:1_{E0F48F5B-E5D0-4B1D-B093-11888B417FF2}" xr6:coauthVersionLast="47" xr6:coauthVersionMax="47" xr10:uidLastSave="{00000000-0000-0000-0000-000000000000}"/>
  <bookViews>
    <workbookView xWindow="-108" yWindow="-108" windowWidth="23256" windowHeight="12456" activeTab="1" xr2:uid="{D38177B3-D2B3-457F-A8CD-0B84E9192E83}"/>
  </bookViews>
  <sheets>
    <sheet name="技術経歴書" sheetId="5" r:id="rId1"/>
    <sheet name="技術経歴書記載例" sheetId="3" r:id="rId2"/>
  </sheets>
  <definedNames>
    <definedName name="_xlnm.Print_Area" localSheetId="0">技術経歴書!$B$2:$M$32</definedName>
    <definedName name="_xlnm.Print_Area" localSheetId="1">技術経歴書記載例!$B$2:$M$32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5" l="1"/>
  <c r="E27" i="5"/>
  <c r="L6" i="5"/>
  <c r="L6" i="3"/>
  <c r="E28" i="3"/>
  <c r="E27" i="3"/>
  <c r="M6" i="5" l="1" a="1"/>
  <c r="M6" i="5" s="1"/>
  <c r="M6" i="3" a="1"/>
  <c r="M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<sst xmlns="http://schemas.openxmlformats.org/spreadsheetml/2006/main" count="96" uniqueCount="58">
  <si>
    <t>技術経歴書</t>
  </si>
  <si>
    <t>フリガナ</t>
  </si>
  <si>
    <t>性別</t>
  </si>
  <si>
    <t>生年月</t>
  </si>
  <si>
    <t>満年齢</t>
  </si>
  <si>
    <t>実務経験</t>
  </si>
  <si>
    <t>氏名</t>
  </si>
  <si>
    <t>住所</t>
  </si>
  <si>
    <t>最終学歴</t>
  </si>
  <si>
    <t>最寄駅</t>
  </si>
  <si>
    <t>資格名</t>
  </si>
  <si>
    <t>業務期間</t>
  </si>
  <si>
    <t>業務内容</t>
    <phoneticPr fontId="1"/>
  </si>
  <si>
    <t>工程</t>
  </si>
  <si>
    <t>立場
人数</t>
  </si>
  <si>
    <t>システム環境</t>
  </si>
  <si>
    <t>開始</t>
  </si>
  <si>
    <t>終了</t>
  </si>
  <si>
    <t>期間</t>
  </si>
  <si>
    <t>言語
FW</t>
    <rPh sb="0" eb="2">
      <t xml:space="preserve">ゲンゴ </t>
    </rPh>
    <phoneticPr fontId="1"/>
  </si>
  <si>
    <t>DB
サーバー</t>
    <phoneticPr fontId="1"/>
  </si>
  <si>
    <t>ﾐﾄﾞﾙｳｪｱ
ﾊﾟｯｹｰｼﾞ
ﾂｰﾙ等</t>
    <phoneticPr fontId="1"/>
  </si>
  <si>
    <t>両国駅</t>
    <rPh sb="0" eb="3">
      <t>リョウゴクエキ</t>
    </rPh>
    <phoneticPr fontId="1"/>
  </si>
  <si>
    <t>No</t>
    <phoneticPr fontId="1"/>
  </si>
  <si>
    <t>経歴の順番　：　直近の業務から過去に遡って記載　　　立場　：　PM:ﾌﾟﾛｼﾞｪｸﾄﾏﾈｼﾞｬｰ　　PL:ﾌﾟﾛｼﾞｪｸﾄﾘｰﾀﾞｰ　　TL:ﾘｰﾀﾞｰ　　SL:ｻﾌﾞﾘｰﾀﾞｰ　　※ﾒﾝﾊﾞｰの場合記載不要</t>
    <phoneticPr fontId="1"/>
  </si>
  <si>
    <t>C . J</t>
    <phoneticPr fontId="1"/>
  </si>
  <si>
    <t>東京都墨田区</t>
    <rPh sb="0" eb="6">
      <t>トウキョウトスミダク</t>
    </rPh>
    <phoneticPr fontId="1"/>
  </si>
  <si>
    <t>中卒</t>
    <rPh sb="0" eb="2">
      <t>チュウソツ</t>
    </rPh>
    <phoneticPr fontId="1"/>
  </si>
  <si>
    <t>技術スキル</t>
    <rPh sb="0" eb="2">
      <t>ギジュツ</t>
    </rPh>
    <phoneticPr fontId="1"/>
  </si>
  <si>
    <t>男</t>
    <rPh sb="0" eb="1">
      <t>オトコ</t>
    </rPh>
    <phoneticPr fontId="1"/>
  </si>
  <si>
    <t>詳細設計
製造
試験</t>
    <rPh sb="0" eb="4">
      <t>ショウサイセッケイ</t>
    </rPh>
    <rPh sb="5" eb="7">
      <t>セイゾウ</t>
    </rPh>
    <rPh sb="8" eb="10">
      <t>シケン</t>
    </rPh>
    <phoneticPr fontId="1"/>
  </si>
  <si>
    <t>保守運用</t>
    <rPh sb="0" eb="4">
      <t>ホシュウンヨウ</t>
    </rPh>
    <phoneticPr fontId="1"/>
  </si>
  <si>
    <t>5名
(TL)</t>
    <rPh sb="1" eb="2">
      <t>メイ</t>
    </rPh>
    <phoneticPr fontId="1"/>
  </si>
  <si>
    <t>Java
SpringBoot
JavaScript
Vue</t>
  </si>
  <si>
    <t>9名</t>
    <rPh sb="1" eb="2">
      <t>メイ</t>
    </rPh>
    <phoneticPr fontId="1"/>
  </si>
  <si>
    <t>Linux
PostgreSQL</t>
    <phoneticPr fontId="1"/>
  </si>
  <si>
    <t>GitHub
MyBatis
SpringSecurity
Grafana
Dynatrace</t>
    <phoneticPr fontId="1"/>
  </si>
  <si>
    <t>AWS(EC2, S3)</t>
    <phoneticPr fontId="1"/>
  </si>
  <si>
    <t>Java
Struts2</t>
    <phoneticPr fontId="1"/>
  </si>
  <si>
    <t>【WEBシステム保守】
保守案件でリリース作業を担当
主な業務
・リリース手順書作成
・リリース作業
・不具合調査</t>
    <rPh sb="21" eb="23">
      <t>サギョウ</t>
    </rPh>
    <rPh sb="38" eb="41">
      <t>テジュンショ</t>
    </rPh>
    <rPh sb="41" eb="43">
      <t>サクセイ</t>
    </rPh>
    <rPh sb="49" eb="51">
      <t>サギョウ</t>
    </rPh>
    <rPh sb="53" eb="56">
      <t>フグアイ</t>
    </rPh>
    <rPh sb="56" eb="58">
      <t>チョウサ</t>
    </rPh>
    <phoneticPr fontId="1"/>
  </si>
  <si>
    <t>GitHub
AWS(CodePipeline, Cognito)</t>
    <phoneticPr fontId="1"/>
  </si>
  <si>
    <t>【卸売企業向け販売システム開発】
リプレイス案件で基本設計書の修正、詳細設計書の修正、実装、単体テスト、結合テストを担当。
チームリーダーとしてメンバーの成果物レビューを実施。
主な業務
・バッチの基本設計書作成
・バッチの製造
・フロントの製造
・結合テスト仕様書の作成
・他チームとの仕様調整</t>
    <rPh sb="77" eb="80">
      <t>セイカブツ</t>
    </rPh>
    <rPh sb="85" eb="87">
      <t>ジッシ</t>
    </rPh>
    <rPh sb="100" eb="104">
      <t>キホンセッケイ</t>
    </rPh>
    <rPh sb="104" eb="105">
      <t>ショ</t>
    </rPh>
    <rPh sb="105" eb="107">
      <t>サクセイ</t>
    </rPh>
    <rPh sb="113" eb="115">
      <t>セイゾウ</t>
    </rPh>
    <rPh sb="122" eb="124">
      <t>セイゾウ</t>
    </rPh>
    <rPh sb="126" eb="128">
      <t>ケツゴウ</t>
    </rPh>
    <rPh sb="139" eb="140">
      <t>タ</t>
    </rPh>
    <rPh sb="145" eb="147">
      <t>シヨウ</t>
    </rPh>
    <rPh sb="147" eb="149">
      <t>チョウセイ</t>
    </rPh>
    <phoneticPr fontId="1"/>
  </si>
  <si>
    <t>フロントエンド、バックエンドの製造を経験し、１人で対応できる範囲が広がってきました。
今後もスキルアップしていきたいと考えています。</t>
    <rPh sb="15" eb="17">
      <t>セイゾウ</t>
    </rPh>
    <rPh sb="18" eb="20">
      <t>ケイケン</t>
    </rPh>
    <rPh sb="23" eb="24">
      <t>ヒト</t>
    </rPh>
    <rPh sb="25" eb="27">
      <t>タイオウ</t>
    </rPh>
    <rPh sb="30" eb="32">
      <t>ハンイ</t>
    </rPh>
    <rPh sb="33" eb="34">
      <t>ヒロ</t>
    </rPh>
    <rPh sb="43" eb="45">
      <t>コンゴ</t>
    </rPh>
    <rPh sb="59" eb="60">
      <t>カンガ</t>
    </rPh>
    <phoneticPr fontId="1"/>
  </si>
  <si>
    <t>経験工程</t>
    <rPh sb="0" eb="2">
      <t>ケイケン</t>
    </rPh>
    <rPh sb="2" eb="4">
      <t>コウテイ</t>
    </rPh>
    <phoneticPr fontId="1"/>
  </si>
  <si>
    <t>基本情報技術者試験/2025年1月取得</t>
    <phoneticPr fontId="1"/>
  </si>
  <si>
    <t>要件定義</t>
    <rPh sb="0" eb="4">
      <t>ヨウケンテイギ</t>
    </rPh>
    <phoneticPr fontId="1"/>
  </si>
  <si>
    <t>基本設計</t>
    <rPh sb="0" eb="4">
      <t>キホンセッケイ</t>
    </rPh>
    <phoneticPr fontId="1"/>
  </si>
  <si>
    <t>詳細設計</t>
    <rPh sb="0" eb="4">
      <t>ショウサイセッケイ</t>
    </rPh>
    <phoneticPr fontId="1"/>
  </si>
  <si>
    <t>製造</t>
    <rPh sb="0" eb="2">
      <t>セイゾウ</t>
    </rPh>
    <phoneticPr fontId="1"/>
  </si>
  <si>
    <t>Java, SpringBoot　2年
JavaScript, Vue, React　１年半
SQL, Linux, Docker, HTML/CSS</t>
    <phoneticPr fontId="1"/>
  </si>
  <si>
    <t>UT</t>
    <phoneticPr fontId="1"/>
  </si>
  <si>
    <t>IT</t>
    <phoneticPr fontId="1"/>
  </si>
  <si>
    <t>お客様からの問い合わせを受け、不具合調査から対応までを実施</t>
    <rPh sb="1" eb="3">
      <t>キャクサマ</t>
    </rPh>
    <rPh sb="6" eb="7">
      <t>ト</t>
    </rPh>
    <rPh sb="8" eb="9">
      <t>ア</t>
    </rPh>
    <rPh sb="12" eb="13">
      <t>ウ</t>
    </rPh>
    <rPh sb="15" eb="18">
      <t>フグアイ</t>
    </rPh>
    <rPh sb="18" eb="20">
      <t>チョウサ</t>
    </rPh>
    <rPh sb="22" eb="24">
      <t>タイオウ</t>
    </rPh>
    <rPh sb="27" eb="29">
      <t>ジッシ</t>
    </rPh>
    <phoneticPr fontId="1"/>
  </si>
  <si>
    <t>テストケースの修正、実施</t>
    <rPh sb="7" eb="9">
      <t>シュウセイ</t>
    </rPh>
    <rPh sb="10" eb="12">
      <t>ジッシ</t>
    </rPh>
    <phoneticPr fontId="1"/>
  </si>
  <si>
    <t>Junitでのテストコード作成。画面、バッチの単体テストケースの作成</t>
    <rPh sb="13" eb="15">
      <t>サクセイ</t>
    </rPh>
    <rPh sb="16" eb="18">
      <t>ガメン</t>
    </rPh>
    <rPh sb="23" eb="25">
      <t>タンタイ</t>
    </rPh>
    <rPh sb="32" eb="34">
      <t>サクセイ</t>
    </rPh>
    <phoneticPr fontId="1"/>
  </si>
  <si>
    <t>バックエンド(Java, SpringBoot)、フロントエンド(JavaScript, Vue, React)を機能単位で製造</t>
    <rPh sb="57" eb="61">
      <t>キノウタンイ</t>
    </rPh>
    <rPh sb="62" eb="64">
      <t>セイゾウ</t>
    </rPh>
    <phoneticPr fontId="1"/>
  </si>
  <si>
    <t>バッチの詳細設計の新規作成</t>
    <rPh sb="4" eb="8">
      <t>ショウサイセッケイ</t>
    </rPh>
    <rPh sb="9" eb="13">
      <t>シンキサクセイ</t>
    </rPh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</si>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</sst>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現在&quot;"/>
    <numFmt numFmtId="177" formatCode="yyyy&quot;年&quot;m&quot;月&quot;;@"/>
    <numFmt numFmtId="178" formatCode="General&quot;歳&quot;"/>
    <numFmt numFmtId="179" formatCode="yyyy/m"/>
  </numFmts>
  <fonts count="14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0.5"/>
      <name val="ＭＳ Ｐゴシック"/>
      <family val="3"/>
      <charset val="128"/>
    </font>
    <font>
      <sz val="26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FF"/>
        <bgColor rgb="FFFFFFCC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rgb="FFFFFFFF"/>
        <bgColor rgb="FFCCFFFF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26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6" fillId="7" borderId="10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 applyProtection="1">
      <alignment horizontal="center" vertical="center"/>
      <protection locked="0"/>
    </xf>
    <xf numFmtId="178" fontId="5" fillId="0" borderId="6" xfId="0" applyNumberFormat="1" applyFont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79" fontId="6" fillId="5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0" fillId="2" borderId="15" xfId="0" applyFill="1" applyBorder="1">
      <alignment vertical="center"/>
    </xf>
    <xf numFmtId="0" fontId="2" fillId="2" borderId="16" xfId="0" applyFon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8" xfId="0" applyFill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5" fillId="0" borderId="21" xfId="0" applyFont="1" applyBorder="1" applyAlignment="1">
      <alignment horizontal="center" vertical="center"/>
    </xf>
    <xf numFmtId="20" fontId="0" fillId="2" borderId="0" xfId="0" applyNumberFormat="1" applyFill="1">
      <alignment vertical="center"/>
    </xf>
    <xf numFmtId="20" fontId="0" fillId="2" borderId="19" xfId="0" applyNumberFormat="1" applyFill="1" applyBorder="1">
      <alignment vertical="center"/>
    </xf>
    <xf numFmtId="0" fontId="5" fillId="2" borderId="18" xfId="0" applyFont="1" applyFill="1" applyBorder="1">
      <alignment vertical="center"/>
    </xf>
    <xf numFmtId="0" fontId="3" fillId="3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2" borderId="19" xfId="0" applyFont="1" applyFill="1" applyBorder="1">
      <alignment vertical="center"/>
    </xf>
    <xf numFmtId="0" fontId="0" fillId="2" borderId="19" xfId="0" applyFill="1" applyBorder="1">
      <alignment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78" fontId="5" fillId="0" borderId="2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77" fontId="12" fillId="0" borderId="0" xfId="0" applyNumberFormat="1" applyFont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1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6" fillId="11" borderId="3" xfId="0" applyFont="1" applyFill="1" applyBorder="1" applyAlignment="1">
      <alignment horizontal="center" vertical="center"/>
    </xf>
    <xf numFmtId="178" fontId="5" fillId="11" borderId="23" xfId="0" applyNumberFormat="1" applyFont="1" applyFill="1" applyBorder="1" applyAlignment="1" applyProtection="1">
      <alignment horizontal="center" vertical="center"/>
      <protection locked="0"/>
    </xf>
    <xf numFmtId="178" fontId="5" fillId="11" borderId="6" xfId="0" applyNumberFormat="1" applyFont="1" applyFill="1" applyBorder="1" applyAlignment="1" applyProtection="1">
      <alignment horizontal="center" vertical="center"/>
      <protection locked="0"/>
    </xf>
    <xf numFmtId="176" fontId="3" fillId="2" borderId="16" xfId="0" applyNumberFormat="1" applyFont="1" applyFill="1" applyBorder="1" applyAlignment="1" applyProtection="1">
      <alignment horizontal="right" vertical="center"/>
      <protection locked="0"/>
    </xf>
    <xf numFmtId="176" fontId="3" fillId="2" borderId="17" xfId="0" applyNumberFormat="1" applyFont="1" applyFill="1" applyBorder="1" applyAlignment="1" applyProtection="1">
      <alignment horizontal="right" vertical="center"/>
      <protection locked="0"/>
    </xf>
    <xf numFmtId="0" fontId="8" fillId="10" borderId="18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176" fontId="3" fillId="2" borderId="0" xfId="0" applyNumberFormat="1" applyFont="1" applyFill="1" applyAlignment="1" applyProtection="1">
      <alignment horizontal="right" vertical="center"/>
      <protection locked="0"/>
    </xf>
    <xf numFmtId="176" fontId="3" fillId="2" borderId="19" xfId="0" applyNumberFormat="1" applyFont="1" applyFill="1" applyBorder="1" applyAlignment="1" applyProtection="1">
      <alignment horizontal="right" vertical="center"/>
      <protection locked="0"/>
    </xf>
    <xf numFmtId="0" fontId="5" fillId="0" borderId="2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Protection="1">
      <alignment vertical="center"/>
      <protection locked="0"/>
    </xf>
    <xf numFmtId="0" fontId="5" fillId="0" borderId="3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Protection="1">
      <alignment vertical="center"/>
      <protection locked="0"/>
    </xf>
    <xf numFmtId="177" fontId="9" fillId="0" borderId="7" xfId="0" applyNumberFormat="1" applyFont="1" applyBorder="1" applyAlignment="1" applyProtection="1">
      <alignment horizontal="center" vertical="center"/>
      <protection locked="0"/>
    </xf>
    <xf numFmtId="177" fontId="9" fillId="0" borderId="5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6" fillId="2" borderId="10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6" fillId="0" borderId="3" xfId="0" applyFont="1" applyBorder="1" applyProtection="1">
      <alignment vertical="center"/>
      <protection locked="0"/>
    </xf>
    <xf numFmtId="0" fontId="6" fillId="0" borderId="2" xfId="0" applyFont="1" applyBorder="1" applyProtection="1">
      <alignment vertical="center"/>
      <protection locked="0"/>
    </xf>
    <xf numFmtId="0" fontId="6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5" fillId="0" borderId="11" xfId="0" applyFont="1" applyBorder="1" applyProtection="1">
      <alignment vertical="center"/>
      <protection locked="0"/>
    </xf>
    <xf numFmtId="0" fontId="5" fillId="0" borderId="35" xfId="0" applyFont="1" applyBorder="1" applyProtection="1">
      <alignment vertical="center"/>
      <protection locked="0"/>
    </xf>
    <xf numFmtId="0" fontId="6" fillId="0" borderId="10" xfId="0" applyFont="1" applyBorder="1" applyAlignment="1">
      <alignment horizontal="left" vertical="center" wrapText="1"/>
    </xf>
    <xf numFmtId="0" fontId="12" fillId="9" borderId="10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177" fontId="13" fillId="0" borderId="15" xfId="0" applyNumberFormat="1" applyFont="1" applyBorder="1" applyAlignment="1" applyProtection="1">
      <alignment horizontal="left" vertical="distributed" wrapText="1" indent="25"/>
      <protection locked="0"/>
    </xf>
    <xf numFmtId="177" fontId="13" fillId="0" borderId="16" xfId="0" applyNumberFormat="1" applyFont="1" applyBorder="1" applyAlignment="1" applyProtection="1">
      <alignment horizontal="left" vertical="distributed" wrapText="1" indent="25"/>
      <protection locked="0"/>
    </xf>
    <xf numFmtId="177" fontId="13" fillId="0" borderId="17" xfId="0" applyNumberFormat="1" applyFont="1" applyBorder="1" applyAlignment="1" applyProtection="1">
      <alignment horizontal="left" vertical="distributed" wrapText="1" indent="25"/>
      <protection locked="0"/>
    </xf>
    <xf numFmtId="177" fontId="13" fillId="0" borderId="18" xfId="0" applyNumberFormat="1" applyFont="1" applyBorder="1" applyAlignment="1" applyProtection="1">
      <alignment horizontal="left" vertical="distributed" wrapText="1" indent="25"/>
      <protection locked="0"/>
    </xf>
    <xf numFmtId="177" fontId="13" fillId="0" borderId="0" xfId="0" applyNumberFormat="1" applyFont="1" applyAlignment="1" applyProtection="1">
      <alignment horizontal="left" vertical="distributed" wrapText="1" indent="25"/>
      <protection locked="0"/>
    </xf>
    <xf numFmtId="177" fontId="13" fillId="0" borderId="19" xfId="0" applyNumberFormat="1" applyFont="1" applyBorder="1" applyAlignment="1" applyProtection="1">
      <alignment horizontal="left" vertical="distributed" wrapText="1" indent="25"/>
      <protection locked="0"/>
    </xf>
    <xf numFmtId="177" fontId="13" fillId="0" borderId="29" xfId="0" applyNumberFormat="1" applyFont="1" applyBorder="1" applyAlignment="1" applyProtection="1">
      <alignment horizontal="left" vertical="distributed" wrapText="1" indent="25"/>
      <protection locked="0"/>
    </xf>
    <xf numFmtId="177" fontId="13" fillId="0" borderId="31" xfId="0" applyNumberFormat="1" applyFont="1" applyBorder="1" applyAlignment="1" applyProtection="1">
      <alignment horizontal="left" vertical="distributed" wrapText="1" indent="25"/>
      <protection locked="0"/>
    </xf>
    <xf numFmtId="177" fontId="13" fillId="0" borderId="30" xfId="0" applyNumberFormat="1" applyFont="1" applyBorder="1" applyAlignment="1" applyProtection="1">
      <alignment horizontal="left" vertical="distributed" wrapText="1" indent="25"/>
      <protection locked="0"/>
    </xf>
    <xf numFmtId="0" fontId="12" fillId="0" borderId="4" xfId="0" applyFont="1" applyBorder="1" applyAlignment="1" applyProtection="1">
      <alignment horizontal="left" vertical="center" wrapText="1" indent="2"/>
      <protection locked="0"/>
    </xf>
    <xf numFmtId="0" fontId="12" fillId="0" borderId="9" xfId="0" applyFont="1" applyBorder="1" applyAlignment="1" applyProtection="1">
      <alignment horizontal="left" vertical="center" wrapText="1" indent="2"/>
      <protection locked="0"/>
    </xf>
    <xf numFmtId="0" fontId="11" fillId="9" borderId="18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177" fontId="12" fillId="0" borderId="0" xfId="0" applyNumberFormat="1" applyFont="1" applyAlignment="1" applyProtection="1">
      <alignment horizontal="center" vertical="center"/>
      <protection locked="0"/>
    </xf>
    <xf numFmtId="0" fontId="5" fillId="8" borderId="2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0" borderId="24" xfId="0" applyFont="1" applyBorder="1" applyAlignment="1" applyProtection="1">
      <alignment horizontal="left" vertical="center" wrapText="1" indent="2"/>
      <protection locked="0"/>
    </xf>
    <xf numFmtId="0" fontId="6" fillId="0" borderId="3" xfId="0" applyFont="1" applyBorder="1" applyAlignment="1" applyProtection="1">
      <alignment horizontal="left" vertical="center" wrapText="1" indent="2"/>
      <protection locked="0"/>
    </xf>
    <xf numFmtId="0" fontId="6" fillId="0" borderId="21" xfId="0" applyFont="1" applyBorder="1" applyAlignment="1" applyProtection="1">
      <alignment horizontal="left" vertical="center" wrapText="1" indent="2"/>
      <protection locked="0"/>
    </xf>
    <xf numFmtId="0" fontId="6" fillId="0" borderId="26" xfId="0" applyFont="1" applyBorder="1" applyAlignment="1" applyProtection="1">
      <alignment horizontal="left" vertical="center" wrapText="1" indent="2"/>
      <protection locked="0"/>
    </xf>
    <xf numFmtId="0" fontId="6" fillId="0" borderId="27" xfId="0" applyFont="1" applyBorder="1" applyAlignment="1" applyProtection="1">
      <alignment horizontal="left" vertical="center" wrapText="1" indent="2"/>
      <protection locked="0"/>
    </xf>
    <xf numFmtId="0" fontId="6" fillId="0" borderId="28" xfId="0" applyFont="1" applyBorder="1" applyAlignment="1" applyProtection="1">
      <alignment horizontal="left" vertical="center" wrapText="1" indent="2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D54B-2DE0-4F08-B180-7B3C7188A607}">
  <sheetPr>
    <pageSetUpPr fitToPage="1"/>
  </sheetPr>
  <dimension ref="B2:Y40"/>
  <sheetViews>
    <sheetView zoomScale="83" zoomScaleNormal="66" zoomScaleSheetLayoutView="71" workbookViewId="0"/>
  </sheetViews>
  <sheetFormatPr defaultColWidth="9" defaultRowHeight="12" x14ac:dyDescent="0.15"/>
  <cols>
    <col min="2" max="2" width="13.88671875" bestFit="1" customWidth="1"/>
    <col min="3" max="3" width="14" bestFit="1" customWidth="1"/>
    <col min="4" max="4" width="13.109375" customWidth="1"/>
    <col min="5" max="5" width="13.88671875" customWidth="1"/>
    <col min="6" max="6" width="13.6640625" customWidth="1"/>
    <col min="7" max="7" width="17" customWidth="1"/>
    <col min="8" max="8" width="31" customWidth="1"/>
    <col min="9" max="9" width="12.44140625" customWidth="1"/>
    <col min="11" max="11" width="21" customWidth="1"/>
    <col min="12" max="12" width="20.44140625" customWidth="1"/>
    <col min="13" max="13" width="23" customWidth="1"/>
  </cols>
  <sheetData>
    <row r="2" spans="2:13" ht="13.2" x14ac:dyDescent="0.15">
      <c r="B2" s="15"/>
      <c r="C2" s="16"/>
      <c r="D2" s="16"/>
      <c r="E2" s="16"/>
      <c r="F2" s="17"/>
      <c r="G2" s="17"/>
      <c r="H2" s="17"/>
      <c r="I2" s="17"/>
      <c r="J2" s="17"/>
      <c r="K2" s="17"/>
      <c r="L2" s="45"/>
      <c r="M2" s="46"/>
    </row>
    <row r="3" spans="2:13" ht="30" x14ac:dyDescent="0.15">
      <c r="B3" s="47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</row>
    <row r="4" spans="2:13" ht="13.2" x14ac:dyDescent="0.15">
      <c r="B4" s="18"/>
      <c r="C4" s="19"/>
      <c r="D4" s="19"/>
      <c r="E4" s="19"/>
      <c r="F4" s="20"/>
      <c r="G4" s="20"/>
      <c r="H4" s="20"/>
      <c r="I4" s="20"/>
      <c r="J4" s="20"/>
      <c r="K4" s="20"/>
      <c r="L4" s="50"/>
      <c r="M4" s="51"/>
    </row>
    <row r="5" spans="2:13" ht="19.5" customHeight="1" x14ac:dyDescent="0.15">
      <c r="B5" s="52" t="s">
        <v>1</v>
      </c>
      <c r="C5" s="53"/>
      <c r="D5" s="53"/>
      <c r="E5" s="54"/>
      <c r="F5" s="54"/>
      <c r="G5" s="54"/>
      <c r="H5" s="54"/>
      <c r="I5" s="5" t="s">
        <v>2</v>
      </c>
      <c r="J5" s="55" t="s">
        <v>3</v>
      </c>
      <c r="K5" s="55"/>
      <c r="L5" s="6" t="s">
        <v>4</v>
      </c>
      <c r="M5" s="21" t="s">
        <v>5</v>
      </c>
    </row>
    <row r="6" spans="2:13" ht="21" x14ac:dyDescent="0.15">
      <c r="B6" s="56" t="s">
        <v>6</v>
      </c>
      <c r="C6" s="57"/>
      <c r="D6" s="57"/>
      <c r="E6" s="58"/>
      <c r="F6" s="58"/>
      <c r="G6" s="58"/>
      <c r="H6" s="58"/>
      <c r="I6" s="7"/>
      <c r="J6" s="59"/>
      <c r="K6" s="60"/>
      <c r="L6" s="8">
        <f ca="1">DATEDIF(J6, TODAY(), "Y")</f>
        <v>126</v>
      </c>
      <c r="M6" s="31" t="str" cm="1">
        <f t="array" ref="M6">INT(SUMPRODUCT(--IF(E27:E30&lt;&gt;"",IF(ISNUMBER(FIND("年",E27:E30)),LEFT(E27:E30,FIND("年",E27:E30)-1),0),0))) + INT(SUMPRODUCT(--IF(E27:E30&lt;&gt;"",IF(ISNUMBER(FIND("ヶ月",E27:E30)),IF(ISNUMBER(FIND("年",E27:E30)),MID(E27:E30,FIND("年",E27:E30)+1,FIND("ヶ月",E27:E30)-FIND("年",E27:E30)-1),LEFT(E27:E30,FIND("ヶ月",E27:E30)-1)),0),0))/12) &amp; "年" &amp; MOD(SUMPRODUCT(--IF(E27:E30&lt;&gt;"",IF(ISNUMBER(FIND("ヶ月",E27:E30)),IF(ISNUMBER(FIND("年",E27:E30)),MID(E27:E30,FIND("年",E27:E30)+1,FIND("ヶ月",E27:E30)-FIND("年",E27:E30)-1),LEFT(E27:E30,FIND("ヶ月",E27:E30)-1)),0),0)),12) &amp; "ヶ月"</f>
        <v>0年0ヶ月</v>
      </c>
    </row>
    <row r="7" spans="2:13" ht="14.4" x14ac:dyDescent="0.15">
      <c r="B7" s="61" t="s">
        <v>7</v>
      </c>
      <c r="C7" s="62"/>
      <c r="D7" s="62"/>
      <c r="E7" s="63"/>
      <c r="F7" s="63"/>
      <c r="G7" s="63"/>
      <c r="H7" s="64"/>
      <c r="I7" s="65" t="s">
        <v>8</v>
      </c>
      <c r="J7" s="65"/>
      <c r="K7" s="67"/>
      <c r="L7" s="67"/>
      <c r="M7" s="68"/>
    </row>
    <row r="8" spans="2:13" ht="16.2" x14ac:dyDescent="0.15">
      <c r="B8" s="61"/>
      <c r="C8" s="62"/>
      <c r="D8" s="62"/>
      <c r="E8" s="73"/>
      <c r="F8" s="73"/>
      <c r="G8" s="73"/>
      <c r="H8" s="74"/>
      <c r="I8" s="65"/>
      <c r="J8" s="65"/>
      <c r="K8" s="69"/>
      <c r="L8" s="69"/>
      <c r="M8" s="70"/>
    </row>
    <row r="9" spans="2:13" ht="16.2" x14ac:dyDescent="0.15">
      <c r="B9" s="75" t="s">
        <v>9</v>
      </c>
      <c r="C9" s="76"/>
      <c r="D9" s="76"/>
      <c r="E9" s="77"/>
      <c r="F9" s="77"/>
      <c r="G9" s="77"/>
      <c r="H9" s="78"/>
      <c r="I9" s="66"/>
      <c r="J9" s="66"/>
      <c r="K9" s="71"/>
      <c r="L9" s="71"/>
      <c r="M9" s="72"/>
    </row>
    <row r="10" spans="2:13" ht="25.5" customHeight="1" x14ac:dyDescent="0.15">
      <c r="B10" s="80" t="s">
        <v>28</v>
      </c>
      <c r="C10" s="80"/>
      <c r="D10" s="80"/>
      <c r="E10" s="80"/>
      <c r="F10" s="80"/>
      <c r="G10" s="80"/>
      <c r="H10" s="80"/>
      <c r="I10" s="80"/>
      <c r="J10" s="80"/>
      <c r="K10" s="81" t="s">
        <v>10</v>
      </c>
      <c r="L10" s="82"/>
      <c r="M10" s="83"/>
    </row>
    <row r="11" spans="2:13" ht="25.5" customHeight="1" x14ac:dyDescent="0.15">
      <c r="B11" s="84"/>
      <c r="C11" s="85"/>
      <c r="D11" s="85"/>
      <c r="E11" s="85"/>
      <c r="F11" s="85"/>
      <c r="G11" s="85"/>
      <c r="H11" s="85"/>
      <c r="I11" s="85"/>
      <c r="J11" s="86"/>
      <c r="K11" s="93"/>
      <c r="L11" s="93"/>
      <c r="M11" s="94"/>
    </row>
    <row r="12" spans="2:13" ht="25.5" customHeight="1" x14ac:dyDescent="0.15">
      <c r="B12" s="87"/>
      <c r="C12" s="88"/>
      <c r="D12" s="88"/>
      <c r="E12" s="88"/>
      <c r="F12" s="88"/>
      <c r="G12" s="88"/>
      <c r="H12" s="88"/>
      <c r="I12" s="88"/>
      <c r="J12" s="89"/>
      <c r="K12" s="93"/>
      <c r="L12" s="93"/>
      <c r="M12" s="94"/>
    </row>
    <row r="13" spans="2:13" ht="31.5" customHeight="1" x14ac:dyDescent="0.15">
      <c r="B13" s="90"/>
      <c r="C13" s="91"/>
      <c r="D13" s="91"/>
      <c r="E13" s="91"/>
      <c r="F13" s="91"/>
      <c r="G13" s="91"/>
      <c r="H13" s="91"/>
      <c r="I13" s="91"/>
      <c r="J13" s="92"/>
      <c r="K13" s="93"/>
      <c r="L13" s="93"/>
      <c r="M13" s="94"/>
    </row>
    <row r="14" spans="2:13" ht="25.5" customHeight="1" x14ac:dyDescent="0.15">
      <c r="B14" s="95" t="s">
        <v>43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7"/>
    </row>
    <row r="15" spans="2:13" ht="25.5" customHeight="1" x14ac:dyDescent="0.15">
      <c r="B15" s="34" t="s">
        <v>45</v>
      </c>
      <c r="C15" s="35"/>
      <c r="D15" s="79"/>
      <c r="E15" s="79"/>
      <c r="F15" s="79"/>
      <c r="G15" s="79"/>
      <c r="H15" s="79"/>
      <c r="I15" s="79"/>
      <c r="J15" s="79"/>
      <c r="K15" s="79"/>
      <c r="L15" s="79"/>
      <c r="M15" s="79"/>
    </row>
    <row r="16" spans="2:13" ht="25.5" customHeight="1" x14ac:dyDescent="0.15">
      <c r="B16" s="34" t="s">
        <v>46</v>
      </c>
      <c r="C16" s="35"/>
      <c r="D16" s="79"/>
      <c r="E16" s="79"/>
      <c r="F16" s="79"/>
      <c r="G16" s="79"/>
      <c r="H16" s="79"/>
      <c r="I16" s="79"/>
      <c r="J16" s="79"/>
      <c r="K16" s="79"/>
      <c r="L16" s="79"/>
      <c r="M16" s="79"/>
    </row>
    <row r="17" spans="2:13" ht="25.5" customHeight="1" x14ac:dyDescent="0.15">
      <c r="B17" s="34" t="s">
        <v>47</v>
      </c>
      <c r="C17" s="35"/>
      <c r="D17" s="79"/>
      <c r="E17" s="79"/>
      <c r="F17" s="79"/>
      <c r="G17" s="79"/>
      <c r="H17" s="79"/>
      <c r="I17" s="79"/>
      <c r="J17" s="79"/>
      <c r="K17" s="79"/>
      <c r="L17" s="79"/>
      <c r="M17" s="79"/>
    </row>
    <row r="18" spans="2:13" ht="25.5" customHeight="1" x14ac:dyDescent="0.15">
      <c r="B18" s="34" t="s">
        <v>48</v>
      </c>
      <c r="C18" s="35"/>
      <c r="D18" s="79"/>
      <c r="E18" s="79"/>
      <c r="F18" s="79"/>
      <c r="G18" s="79"/>
      <c r="H18" s="79"/>
      <c r="I18" s="79"/>
      <c r="J18" s="79"/>
      <c r="K18" s="79"/>
      <c r="L18" s="79"/>
      <c r="M18" s="79"/>
    </row>
    <row r="19" spans="2:13" ht="25.5" customHeight="1" x14ac:dyDescent="0.15">
      <c r="B19" s="33" t="s">
        <v>50</v>
      </c>
      <c r="C19" s="35"/>
      <c r="D19" s="79"/>
      <c r="E19" s="79"/>
      <c r="F19" s="79"/>
      <c r="G19" s="79"/>
      <c r="H19" s="79"/>
      <c r="I19" s="79"/>
      <c r="J19" s="79"/>
      <c r="K19" s="79"/>
      <c r="L19" s="79"/>
      <c r="M19" s="79"/>
    </row>
    <row r="20" spans="2:13" ht="25.5" customHeight="1" x14ac:dyDescent="0.15">
      <c r="B20" s="33" t="s">
        <v>51</v>
      </c>
      <c r="C20" s="35"/>
      <c r="D20" s="79"/>
      <c r="E20" s="79"/>
      <c r="F20" s="79"/>
      <c r="G20" s="79"/>
      <c r="H20" s="79"/>
      <c r="I20" s="79"/>
      <c r="J20" s="79"/>
      <c r="K20" s="79"/>
      <c r="L20" s="79"/>
      <c r="M20" s="79"/>
    </row>
    <row r="21" spans="2:13" ht="31.5" customHeight="1" x14ac:dyDescent="0.15">
      <c r="B21" s="33" t="s">
        <v>31</v>
      </c>
      <c r="C21" s="35"/>
      <c r="D21" s="79"/>
      <c r="E21" s="79"/>
      <c r="F21" s="79"/>
      <c r="G21" s="79"/>
      <c r="H21" s="79"/>
      <c r="I21" s="79"/>
      <c r="J21" s="79"/>
      <c r="K21" s="79"/>
      <c r="L21" s="79"/>
      <c r="M21" s="79"/>
    </row>
    <row r="22" spans="2:13" x14ac:dyDescent="0.15">
      <c r="B22" s="18"/>
      <c r="C22" s="20"/>
      <c r="D22" s="20"/>
      <c r="E22" s="22"/>
      <c r="F22" s="22"/>
      <c r="G22" s="22"/>
      <c r="H22" s="22"/>
      <c r="I22" s="22"/>
      <c r="J22" s="22"/>
      <c r="K22" s="22"/>
      <c r="L22" s="22"/>
      <c r="M22" s="23"/>
    </row>
    <row r="23" spans="2:13" ht="14.4" x14ac:dyDescent="0.15">
      <c r="B23" s="24"/>
      <c r="C23" s="25" t="s">
        <v>24</v>
      </c>
      <c r="D23" s="26"/>
      <c r="E23" s="26"/>
      <c r="F23" s="26"/>
      <c r="G23" s="26"/>
      <c r="H23" s="26"/>
      <c r="I23" s="26"/>
      <c r="J23" s="26"/>
      <c r="K23" s="26"/>
      <c r="L23" s="26"/>
      <c r="M23" s="27"/>
    </row>
    <row r="24" spans="2:13" x14ac:dyDescent="0.15">
      <c r="B24" s="18"/>
      <c r="C24" s="19"/>
      <c r="D24" s="19"/>
      <c r="E24" s="19"/>
      <c r="F24" s="20"/>
      <c r="G24" s="20"/>
      <c r="H24" s="20"/>
      <c r="I24" s="20"/>
      <c r="J24" s="20"/>
      <c r="K24" s="20"/>
      <c r="L24" s="20"/>
      <c r="M24" s="28"/>
    </row>
    <row r="25" spans="2:13" ht="14.4" x14ac:dyDescent="0.15">
      <c r="B25" s="99" t="s">
        <v>23</v>
      </c>
      <c r="C25" s="100" t="s">
        <v>11</v>
      </c>
      <c r="D25" s="100"/>
      <c r="E25" s="100"/>
      <c r="F25" s="101" t="s">
        <v>12</v>
      </c>
      <c r="G25" s="101"/>
      <c r="H25" s="101"/>
      <c r="I25" s="101" t="s">
        <v>13</v>
      </c>
      <c r="J25" s="101" t="s">
        <v>14</v>
      </c>
      <c r="K25" s="100" t="s">
        <v>15</v>
      </c>
      <c r="L25" s="100"/>
      <c r="M25" s="102"/>
    </row>
    <row r="26" spans="2:13" ht="43.2" x14ac:dyDescent="0.15">
      <c r="B26" s="99"/>
      <c r="C26" s="9" t="s">
        <v>16</v>
      </c>
      <c r="D26" s="9" t="s">
        <v>17</v>
      </c>
      <c r="E26" s="9" t="s">
        <v>18</v>
      </c>
      <c r="F26" s="101"/>
      <c r="G26" s="101"/>
      <c r="H26" s="101"/>
      <c r="I26" s="101"/>
      <c r="J26" s="101"/>
      <c r="K26" s="10" t="s">
        <v>19</v>
      </c>
      <c r="L26" s="10" t="s">
        <v>20</v>
      </c>
      <c r="M26" s="29" t="s">
        <v>21</v>
      </c>
    </row>
    <row r="27" spans="2:13" ht="264" customHeight="1" x14ac:dyDescent="0.15">
      <c r="B27" s="30">
        <v>1</v>
      </c>
      <c r="C27" s="11"/>
      <c r="D27" s="11"/>
      <c r="E27" s="12" t="str">
        <f>IF(DATEDIF(C27,EDATE(D27,1),"y")=0,DATEDIF(C27,EDATE(D27,1),"ym") &amp; "ヶ月",DATEDIF(C27,EDATE(D27,1),"y") &amp; "年" &amp; IF(DATEDIF(C27,EDATE(D27,1),"ym")=0,"",DATEDIF(C27,EDATE(D27,1),"ym") &amp; "ヶ月"))</f>
        <v>0ヶ月</v>
      </c>
      <c r="F27" s="103"/>
      <c r="G27" s="104"/>
      <c r="H27" s="105"/>
      <c r="I27" s="1"/>
      <c r="J27" s="13"/>
      <c r="K27" s="14"/>
      <c r="L27" s="14"/>
      <c r="M27" s="14"/>
    </row>
    <row r="28" spans="2:13" ht="180.6" customHeight="1" x14ac:dyDescent="0.15">
      <c r="B28" s="30">
        <v>2</v>
      </c>
      <c r="C28" s="11"/>
      <c r="D28" s="11"/>
      <c r="E28" s="12" t="str">
        <f>IF(DATEDIF(C28,EDATE(D28,1),"y")=0,DATEDIF(C28,EDATE(D28,1),"ym") &amp; "ヶ月",DATEDIF(C28,EDATE(D28,1),"y") &amp; "年" &amp; IF(DATEDIF(C28,EDATE(D28,1),"ym")=0,"",DATEDIF(C28,EDATE(D28,1),"ym") &amp; "ヶ月"))</f>
        <v>0ヶ月</v>
      </c>
      <c r="F28" s="103"/>
      <c r="G28" s="104"/>
      <c r="H28" s="105"/>
      <c r="I28" s="1"/>
      <c r="J28" s="13"/>
      <c r="K28" s="14"/>
      <c r="L28" s="14"/>
      <c r="M28" s="14"/>
    </row>
    <row r="29" spans="2:13" ht="180.6" customHeight="1" x14ac:dyDescent="0.15">
      <c r="B29" s="30">
        <v>3</v>
      </c>
      <c r="C29" s="11"/>
      <c r="D29" s="11"/>
      <c r="E29" s="12"/>
      <c r="F29" s="103"/>
      <c r="G29" s="104"/>
      <c r="H29" s="105"/>
      <c r="I29" s="1"/>
      <c r="J29" s="13"/>
      <c r="K29" s="14"/>
      <c r="L29" s="14"/>
      <c r="M29" s="14"/>
    </row>
    <row r="30" spans="2:13" x14ac:dyDescent="0.15">
      <c r="B30" s="106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8"/>
    </row>
    <row r="31" spans="2:13" x14ac:dyDescent="0.15">
      <c r="B31" s="106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8"/>
    </row>
    <row r="32" spans="2:13" ht="75.75" customHeight="1" x14ac:dyDescent="0.15">
      <c r="B32" s="109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1"/>
    </row>
    <row r="33" spans="2:25" ht="13.2" x14ac:dyDescent="0.15">
      <c r="B33" s="2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</row>
    <row r="37" spans="2:25" ht="16.2" x14ac:dyDescent="0.15">
      <c r="N37" s="41"/>
      <c r="O37" s="41"/>
      <c r="P37" s="41"/>
      <c r="Q37" s="32"/>
      <c r="R37" s="32"/>
      <c r="S37" s="32"/>
      <c r="T37" s="32"/>
      <c r="U37" s="32"/>
      <c r="V37" s="32"/>
      <c r="W37" s="36"/>
      <c r="X37" s="36"/>
      <c r="Y37" s="36"/>
    </row>
    <row r="38" spans="2:25" ht="12" customHeight="1" x14ac:dyDescent="0.15">
      <c r="N38" s="41"/>
      <c r="O38" s="41"/>
      <c r="P38" s="41"/>
      <c r="Q38" s="98"/>
      <c r="R38" s="98"/>
      <c r="S38" s="113"/>
      <c r="T38" s="113"/>
      <c r="U38" s="113"/>
      <c r="V38" s="113"/>
      <c r="W38" s="114"/>
      <c r="X38" s="114"/>
      <c r="Y38" s="112"/>
    </row>
    <row r="39" spans="2:25" ht="12" customHeight="1" x14ac:dyDescent="0.15">
      <c r="N39" s="41"/>
      <c r="O39" s="41"/>
      <c r="P39" s="41"/>
      <c r="Q39" s="98"/>
      <c r="R39" s="98"/>
      <c r="S39" s="113"/>
      <c r="T39" s="113"/>
      <c r="U39" s="113"/>
      <c r="V39" s="113"/>
      <c r="W39" s="114"/>
      <c r="X39" s="114"/>
      <c r="Y39" s="112"/>
    </row>
    <row r="40" spans="2:25" ht="16.2" x14ac:dyDescent="0.15">
      <c r="N40" s="41"/>
      <c r="O40" s="41"/>
      <c r="P40" s="41"/>
      <c r="Q40" s="37"/>
      <c r="R40" s="37"/>
      <c r="S40" s="38"/>
      <c r="T40" s="38"/>
      <c r="U40" s="38"/>
      <c r="V40" s="38"/>
      <c r="W40" s="39"/>
      <c r="X40" s="39"/>
      <c r="Y40" s="40"/>
    </row>
  </sheetData>
  <mergeCells count="47">
    <mergeCell ref="Y38:Y39"/>
    <mergeCell ref="S38:S39"/>
    <mergeCell ref="T38:T39"/>
    <mergeCell ref="U38:U39"/>
    <mergeCell ref="V38:V39"/>
    <mergeCell ref="W38:W39"/>
    <mergeCell ref="X38:X39"/>
    <mergeCell ref="R38:R39"/>
    <mergeCell ref="B25:B26"/>
    <mergeCell ref="C25:E25"/>
    <mergeCell ref="F25:H26"/>
    <mergeCell ref="I25:I26"/>
    <mergeCell ref="J25:J26"/>
    <mergeCell ref="K25:M25"/>
    <mergeCell ref="F27:H27"/>
    <mergeCell ref="F28:H28"/>
    <mergeCell ref="F29:H29"/>
    <mergeCell ref="B30:M32"/>
    <mergeCell ref="Q38:Q39"/>
    <mergeCell ref="D21:M21"/>
    <mergeCell ref="B10:J10"/>
    <mergeCell ref="K10:M10"/>
    <mergeCell ref="B11:J13"/>
    <mergeCell ref="K11:M13"/>
    <mergeCell ref="B14:M14"/>
    <mergeCell ref="D15:M15"/>
    <mergeCell ref="D16:M16"/>
    <mergeCell ref="D17:M17"/>
    <mergeCell ref="D18:M18"/>
    <mergeCell ref="D19:M19"/>
    <mergeCell ref="D20:M20"/>
    <mergeCell ref="B6:D6"/>
    <mergeCell ref="E6:H6"/>
    <mergeCell ref="J6:K6"/>
    <mergeCell ref="B7:D8"/>
    <mergeCell ref="E7:H7"/>
    <mergeCell ref="I7:J9"/>
    <mergeCell ref="K7:M9"/>
    <mergeCell ref="E8:H8"/>
    <mergeCell ref="B9:D9"/>
    <mergeCell ref="E9:H9"/>
    <mergeCell ref="L2:M2"/>
    <mergeCell ref="B3:M3"/>
    <mergeCell ref="L4:M4"/>
    <mergeCell ref="B5:D5"/>
    <mergeCell ref="E5:H5"/>
    <mergeCell ref="J5:K5"/>
  </mergeCells>
  <phoneticPr fontId="1"/>
  <dataValidations count="1">
    <dataValidation type="list" allowBlank="1" showInputMessage="1" showErrorMessage="1" sqref="C15:C21" xr:uid="{35189667-CC79-4A2A-ABFF-8DE069AADFFF}">
      <formula1>"〇"</formula1>
    </dataValidation>
  </dataValidation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9447-1407-4067-BC90-1B7B5B1844FA}">
  <sheetPr>
    <pageSetUpPr fitToPage="1"/>
  </sheetPr>
  <dimension ref="B2:Y40"/>
  <sheetViews>
    <sheetView tabSelected="1" zoomScale="83" zoomScaleNormal="66" zoomScaleSheetLayoutView="71" workbookViewId="0">
      <selection activeCell="B11" sqref="B11:J13"/>
    </sheetView>
  </sheetViews>
  <sheetFormatPr defaultColWidth="9" defaultRowHeight="12" x14ac:dyDescent="0.15"/>
  <cols>
    <col min="2" max="2" width="13.88671875" bestFit="1" customWidth="1"/>
    <col min="3" max="3" width="14" bestFit="1" customWidth="1"/>
    <col min="4" max="4" width="13.109375" customWidth="1"/>
    <col min="5" max="5" width="13.88671875" customWidth="1"/>
    <col min="6" max="6" width="13.6640625" customWidth="1"/>
    <col min="7" max="7" width="17" customWidth="1"/>
    <col min="8" max="8" width="31" customWidth="1"/>
    <col min="9" max="9" width="12.44140625" customWidth="1"/>
    <col min="11" max="11" width="21" customWidth="1"/>
    <col min="12" max="12" width="20.44140625" customWidth="1"/>
    <col min="13" max="13" width="23" customWidth="1"/>
  </cols>
  <sheetData>
    <row r="2" spans="2:13" ht="13.2" x14ac:dyDescent="0.15">
      <c r="B2" s="15"/>
      <c r="C2" s="16"/>
      <c r="D2" s="16"/>
      <c r="E2" s="16"/>
      <c r="F2" s="17"/>
      <c r="G2" s="17"/>
      <c r="H2" s="17"/>
      <c r="I2" s="17"/>
      <c r="J2" s="17"/>
      <c r="K2" s="17"/>
      <c r="L2" s="45"/>
      <c r="M2" s="46"/>
    </row>
    <row r="3" spans="2:13" ht="30" x14ac:dyDescent="0.15">
      <c r="B3" s="47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</row>
    <row r="4" spans="2:13" ht="13.2" x14ac:dyDescent="0.15">
      <c r="B4" s="18"/>
      <c r="C4" s="19"/>
      <c r="D4" s="19"/>
      <c r="E4" s="19"/>
      <c r="F4" s="20"/>
      <c r="G4" s="20"/>
      <c r="H4" s="20"/>
      <c r="I4" s="20"/>
      <c r="J4" s="20"/>
      <c r="K4" s="20"/>
      <c r="L4" s="50"/>
      <c r="M4" s="51"/>
    </row>
    <row r="5" spans="2:13" ht="19.5" customHeight="1" x14ac:dyDescent="0.15">
      <c r="B5" s="52" t="s">
        <v>1</v>
      </c>
      <c r="C5" s="53"/>
      <c r="D5" s="53"/>
      <c r="E5" s="54"/>
      <c r="F5" s="54"/>
      <c r="G5" s="54"/>
      <c r="H5" s="54"/>
      <c r="I5" s="5" t="s">
        <v>2</v>
      </c>
      <c r="J5" s="55" t="s">
        <v>3</v>
      </c>
      <c r="K5" s="55"/>
      <c r="L5" s="6" t="s">
        <v>4</v>
      </c>
      <c r="M5" s="21" t="s">
        <v>5</v>
      </c>
    </row>
    <row r="6" spans="2:13" ht="21" x14ac:dyDescent="0.15">
      <c r="B6" s="56" t="s">
        <v>6</v>
      </c>
      <c r="C6" s="57"/>
      <c r="D6" s="57"/>
      <c r="E6" s="58" t="s">
        <v>25</v>
      </c>
      <c r="F6" s="58"/>
      <c r="G6" s="58"/>
      <c r="H6" s="58"/>
      <c r="I6" s="7" t="s">
        <v>29</v>
      </c>
      <c r="J6" s="59">
        <v>36559</v>
      </c>
      <c r="K6" s="60"/>
      <c r="L6" s="44">
        <f ca="1">DATEDIF(J6, TODAY(), "Y")</f>
        <v>26</v>
      </c>
      <c r="M6" s="43" t="str" cm="1">
        <f t="array" ref="M6">INT(SUMPRODUCT(--IF(E27:E30&lt;&gt;"",IF(ISNUMBER(FIND("年",E27:E30)),LEFT(E27:E30,FIND("年",E27:E30)-1),0),0))) + INT(SUMPRODUCT(--IF(E27:E30&lt;&gt;"",IF(ISNUMBER(FIND("ヶ月",E27:E30)),IF(ISNUMBER(FIND("年",E27:E30)),MID(E27:E30,FIND("年",E27:E30)+1,FIND("ヶ月",E27:E30)-FIND("年",E27:E30)-1),LEFT(E27:E30,FIND("ヶ月",E27:E30)-1)),0),0))/12) &amp; "年" &amp; MOD(SUMPRODUCT(--IF(E27:E30&lt;&gt;"",IF(ISNUMBER(FIND("ヶ月",E27:E30)),IF(ISNUMBER(FIND("年",E27:E30)),MID(E27:E30,FIND("年",E27:E30)+1,FIND("ヶ月",E27:E30)-FIND("年",E27:E30)-1),LEFT(E27:E30,FIND("ヶ月",E27:E30)-1)),0),0)),12) &amp; "ヶ月"</f>
        <v>2年4ヶ月</v>
      </c>
    </row>
    <row r="7" spans="2:13" ht="14.4" x14ac:dyDescent="0.15">
      <c r="B7" s="61" t="s">
        <v>7</v>
      </c>
      <c r="C7" s="62"/>
      <c r="D7" s="62"/>
      <c r="E7" s="63" t="s">
        <v>26</v>
      </c>
      <c r="F7" s="63"/>
      <c r="G7" s="63"/>
      <c r="H7" s="64"/>
      <c r="I7" s="65" t="s">
        <v>8</v>
      </c>
      <c r="J7" s="65"/>
      <c r="K7" s="67" t="s">
        <v>27</v>
      </c>
      <c r="L7" s="67"/>
      <c r="M7" s="68"/>
    </row>
    <row r="8" spans="2:13" ht="16.2" x14ac:dyDescent="0.15">
      <c r="B8" s="61"/>
      <c r="C8" s="62"/>
      <c r="D8" s="62"/>
      <c r="E8" s="73"/>
      <c r="F8" s="73"/>
      <c r="G8" s="73"/>
      <c r="H8" s="74"/>
      <c r="I8" s="65"/>
      <c r="J8" s="65"/>
      <c r="K8" s="69"/>
      <c r="L8" s="69"/>
      <c r="M8" s="70"/>
    </row>
    <row r="9" spans="2:13" ht="16.2" x14ac:dyDescent="0.15">
      <c r="B9" s="75" t="s">
        <v>9</v>
      </c>
      <c r="C9" s="76"/>
      <c r="D9" s="76"/>
      <c r="E9" s="77" t="s">
        <v>22</v>
      </c>
      <c r="F9" s="77"/>
      <c r="G9" s="77"/>
      <c r="H9" s="78"/>
      <c r="I9" s="66"/>
      <c r="J9" s="66"/>
      <c r="K9" s="71"/>
      <c r="L9" s="71"/>
      <c r="M9" s="72"/>
    </row>
    <row r="10" spans="2:13" ht="25.5" customHeight="1" x14ac:dyDescent="0.15">
      <c r="B10" s="80" t="s">
        <v>28</v>
      </c>
      <c r="C10" s="80"/>
      <c r="D10" s="80"/>
      <c r="E10" s="80"/>
      <c r="F10" s="80"/>
      <c r="G10" s="80"/>
      <c r="H10" s="80"/>
      <c r="I10" s="80"/>
      <c r="J10" s="80"/>
      <c r="K10" s="81" t="s">
        <v>10</v>
      </c>
      <c r="L10" s="82"/>
      <c r="M10" s="83"/>
    </row>
    <row r="11" spans="2:13" ht="25.5" customHeight="1" x14ac:dyDescent="0.15">
      <c r="B11" s="84" t="s">
        <v>49</v>
      </c>
      <c r="C11" s="85"/>
      <c r="D11" s="85"/>
      <c r="E11" s="85"/>
      <c r="F11" s="85"/>
      <c r="G11" s="85"/>
      <c r="H11" s="85"/>
      <c r="I11" s="85"/>
      <c r="J11" s="86"/>
      <c r="K11" s="93" t="s">
        <v>44</v>
      </c>
      <c r="L11" s="93"/>
      <c r="M11" s="94"/>
    </row>
    <row r="12" spans="2:13" ht="25.5" customHeight="1" x14ac:dyDescent="0.15">
      <c r="B12" s="87"/>
      <c r="C12" s="88"/>
      <c r="D12" s="88"/>
      <c r="E12" s="88"/>
      <c r="F12" s="88"/>
      <c r="G12" s="88"/>
      <c r="H12" s="88"/>
      <c r="I12" s="88"/>
      <c r="J12" s="89"/>
      <c r="K12" s="93"/>
      <c r="L12" s="93"/>
      <c r="M12" s="94"/>
    </row>
    <row r="13" spans="2:13" ht="31.5" customHeight="1" x14ac:dyDescent="0.15">
      <c r="B13" s="90"/>
      <c r="C13" s="91"/>
      <c r="D13" s="91"/>
      <c r="E13" s="91"/>
      <c r="F13" s="91"/>
      <c r="G13" s="91"/>
      <c r="H13" s="91"/>
      <c r="I13" s="91"/>
      <c r="J13" s="92"/>
      <c r="K13" s="93"/>
      <c r="L13" s="93"/>
      <c r="M13" s="94"/>
    </row>
    <row r="14" spans="2:13" ht="25.5" customHeight="1" x14ac:dyDescent="0.15">
      <c r="B14" s="95" t="s">
        <v>43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7"/>
    </row>
    <row r="15" spans="2:13" ht="25.5" customHeight="1" x14ac:dyDescent="0.15">
      <c r="B15" s="34" t="s">
        <v>45</v>
      </c>
      <c r="C15" s="35"/>
      <c r="D15" s="79"/>
      <c r="E15" s="79"/>
      <c r="F15" s="79"/>
      <c r="G15" s="79"/>
      <c r="H15" s="79"/>
      <c r="I15" s="79"/>
      <c r="J15" s="79"/>
      <c r="K15" s="79"/>
      <c r="L15" s="79"/>
      <c r="M15" s="79"/>
    </row>
    <row r="16" spans="2:13" ht="25.5" customHeight="1" x14ac:dyDescent="0.15">
      <c r="B16" s="34" t="s">
        <v>46</v>
      </c>
      <c r="C16" s="35"/>
      <c r="D16" s="79"/>
      <c r="E16" s="79"/>
      <c r="F16" s="79"/>
      <c r="G16" s="79"/>
      <c r="H16" s="79"/>
      <c r="I16" s="79"/>
      <c r="J16" s="79"/>
      <c r="K16" s="79"/>
      <c r="L16" s="79"/>
      <c r="M16" s="79"/>
    </row>
    <row r="17" spans="2:13" ht="25.5" customHeight="1" x14ac:dyDescent="0.15">
      <c r="B17" s="34" t="s">
        <v>47</v>
      </c>
      <c r="C17" s="35" t="s">
        <v>57</v>
      </c>
      <c r="D17" s="79" t="s">
        <v>56</v>
      </c>
      <c r="E17" s="79"/>
      <c r="F17" s="79"/>
      <c r="G17" s="79"/>
      <c r="H17" s="79"/>
      <c r="I17" s="79"/>
      <c r="J17" s="79"/>
      <c r="K17" s="79"/>
      <c r="L17" s="79"/>
      <c r="M17" s="79"/>
    </row>
    <row r="18" spans="2:13" ht="25.5" customHeight="1" x14ac:dyDescent="0.15">
      <c r="B18" s="34" t="s">
        <v>48</v>
      </c>
      <c r="C18" s="35" t="s">
        <v>57</v>
      </c>
      <c r="D18" s="79" t="s">
        <v>55</v>
      </c>
      <c r="E18" s="79"/>
      <c r="F18" s="79"/>
      <c r="G18" s="79"/>
      <c r="H18" s="79"/>
      <c r="I18" s="79"/>
      <c r="J18" s="79"/>
      <c r="K18" s="79"/>
      <c r="L18" s="79"/>
      <c r="M18" s="79"/>
    </row>
    <row r="19" spans="2:13" ht="25.5" customHeight="1" x14ac:dyDescent="0.15">
      <c r="B19" s="33" t="s">
        <v>50</v>
      </c>
      <c r="C19" s="35" t="s">
        <v>57</v>
      </c>
      <c r="D19" s="79" t="s">
        <v>54</v>
      </c>
      <c r="E19" s="79"/>
      <c r="F19" s="79"/>
      <c r="G19" s="79"/>
      <c r="H19" s="79"/>
      <c r="I19" s="79"/>
      <c r="J19" s="79"/>
      <c r="K19" s="79"/>
      <c r="L19" s="79"/>
      <c r="M19" s="79"/>
    </row>
    <row r="20" spans="2:13" ht="25.5" customHeight="1" x14ac:dyDescent="0.15">
      <c r="B20" s="33" t="s">
        <v>51</v>
      </c>
      <c r="C20" s="35" t="s">
        <v>57</v>
      </c>
      <c r="D20" s="79" t="s">
        <v>53</v>
      </c>
      <c r="E20" s="79"/>
      <c r="F20" s="79"/>
      <c r="G20" s="79"/>
      <c r="H20" s="79"/>
      <c r="I20" s="79"/>
      <c r="J20" s="79"/>
      <c r="K20" s="79"/>
      <c r="L20" s="79"/>
      <c r="M20" s="79"/>
    </row>
    <row r="21" spans="2:13" ht="31.5" customHeight="1" x14ac:dyDescent="0.15">
      <c r="B21" s="33" t="s">
        <v>31</v>
      </c>
      <c r="C21" s="35" t="s">
        <v>57</v>
      </c>
      <c r="D21" s="79" t="s">
        <v>52</v>
      </c>
      <c r="E21" s="79"/>
      <c r="F21" s="79"/>
      <c r="G21" s="79"/>
      <c r="H21" s="79"/>
      <c r="I21" s="79"/>
      <c r="J21" s="79"/>
      <c r="K21" s="79"/>
      <c r="L21" s="79"/>
      <c r="M21" s="79"/>
    </row>
    <row r="22" spans="2:13" x14ac:dyDescent="0.15">
      <c r="B22" s="18"/>
      <c r="C22" s="20"/>
      <c r="D22" s="20"/>
      <c r="E22" s="22"/>
      <c r="F22" s="22"/>
      <c r="G22" s="22"/>
      <c r="H22" s="22"/>
      <c r="I22" s="22"/>
      <c r="J22" s="22"/>
      <c r="K22" s="22"/>
      <c r="L22" s="22"/>
      <c r="M22" s="23"/>
    </row>
    <row r="23" spans="2:13" ht="14.4" x14ac:dyDescent="0.15">
      <c r="B23" s="24"/>
      <c r="C23" s="25" t="s">
        <v>24</v>
      </c>
      <c r="D23" s="26"/>
      <c r="E23" s="26"/>
      <c r="F23" s="26"/>
      <c r="G23" s="26"/>
      <c r="H23" s="26"/>
      <c r="I23" s="26"/>
      <c r="J23" s="26"/>
      <c r="K23" s="26"/>
      <c r="L23" s="26"/>
      <c r="M23" s="27"/>
    </row>
    <row r="24" spans="2:13" x14ac:dyDescent="0.15">
      <c r="B24" s="18"/>
      <c r="C24" s="19"/>
      <c r="D24" s="19"/>
      <c r="E24" s="19"/>
      <c r="F24" s="20"/>
      <c r="G24" s="20"/>
      <c r="H24" s="20"/>
      <c r="I24" s="20"/>
      <c r="J24" s="20"/>
      <c r="K24" s="20"/>
      <c r="L24" s="20"/>
      <c r="M24" s="28"/>
    </row>
    <row r="25" spans="2:13" ht="14.4" x14ac:dyDescent="0.15">
      <c r="B25" s="99" t="s">
        <v>23</v>
      </c>
      <c r="C25" s="100" t="s">
        <v>11</v>
      </c>
      <c r="D25" s="100"/>
      <c r="E25" s="100"/>
      <c r="F25" s="101" t="s">
        <v>12</v>
      </c>
      <c r="G25" s="101"/>
      <c r="H25" s="101"/>
      <c r="I25" s="101" t="s">
        <v>13</v>
      </c>
      <c r="J25" s="101" t="s">
        <v>14</v>
      </c>
      <c r="K25" s="100" t="s">
        <v>15</v>
      </c>
      <c r="L25" s="100"/>
      <c r="M25" s="102"/>
    </row>
    <row r="26" spans="2:13" ht="43.2" x14ac:dyDescent="0.15">
      <c r="B26" s="99"/>
      <c r="C26" s="9" t="s">
        <v>16</v>
      </c>
      <c r="D26" s="9" t="s">
        <v>17</v>
      </c>
      <c r="E26" s="9" t="s">
        <v>18</v>
      </c>
      <c r="F26" s="101"/>
      <c r="G26" s="101"/>
      <c r="H26" s="101"/>
      <c r="I26" s="101"/>
      <c r="J26" s="101"/>
      <c r="K26" s="10" t="s">
        <v>19</v>
      </c>
      <c r="L26" s="10" t="s">
        <v>20</v>
      </c>
      <c r="M26" s="29" t="s">
        <v>21</v>
      </c>
    </row>
    <row r="27" spans="2:13" ht="264" customHeight="1" x14ac:dyDescent="0.15">
      <c r="B27" s="30">
        <v>1</v>
      </c>
      <c r="C27" s="11">
        <v>45047</v>
      </c>
      <c r="D27" s="11">
        <v>45717</v>
      </c>
      <c r="E27" s="42" t="str">
        <f>IF(DATEDIF(C27,EDATE(D27,1),"y")=0,DATEDIF(C27,EDATE(D27,1),"ym") &amp; "ヶ月",DATEDIF(C27,EDATE(D27,1),"y") &amp; "年" &amp; IF(DATEDIF(C27,EDATE(D27,1),"ym")=0,"",DATEDIF(C27,EDATE(D27,1),"ym") &amp; "ヶ月"))</f>
        <v>1年11ヶ月</v>
      </c>
      <c r="F27" s="103" t="s">
        <v>41</v>
      </c>
      <c r="G27" s="104"/>
      <c r="H27" s="105"/>
      <c r="I27" s="1" t="s">
        <v>30</v>
      </c>
      <c r="J27" s="13" t="s">
        <v>32</v>
      </c>
      <c r="K27" s="14" t="s">
        <v>33</v>
      </c>
      <c r="L27" s="14" t="s">
        <v>35</v>
      </c>
      <c r="M27" s="14" t="s">
        <v>36</v>
      </c>
    </row>
    <row r="28" spans="2:13" ht="180.6" customHeight="1" x14ac:dyDescent="0.15">
      <c r="B28" s="30">
        <v>2</v>
      </c>
      <c r="C28" s="11">
        <v>44896</v>
      </c>
      <c r="D28" s="11">
        <v>45017</v>
      </c>
      <c r="E28" s="42" t="str">
        <f>IF(DATEDIF(C28,EDATE(D28,1),"y")=0,DATEDIF(C28,EDATE(D28,1),"ym") &amp; "ヶ月",DATEDIF(C28,EDATE(D28,1),"y") &amp; "年" &amp; IF(DATEDIF(C28,EDATE(D28,1),"ym")=0,"",DATEDIF(C28,EDATE(D28,1),"ym") &amp; "ヶ月"))</f>
        <v>5ヶ月</v>
      </c>
      <c r="F28" s="103" t="s">
        <v>39</v>
      </c>
      <c r="G28" s="104"/>
      <c r="H28" s="105"/>
      <c r="I28" s="1" t="s">
        <v>31</v>
      </c>
      <c r="J28" s="13" t="s">
        <v>34</v>
      </c>
      <c r="K28" s="14" t="s">
        <v>38</v>
      </c>
      <c r="L28" s="14" t="s">
        <v>37</v>
      </c>
      <c r="M28" s="14" t="s">
        <v>40</v>
      </c>
    </row>
    <row r="29" spans="2:13" ht="180.6" customHeight="1" x14ac:dyDescent="0.15">
      <c r="B29" s="30">
        <v>3</v>
      </c>
      <c r="C29" s="11"/>
      <c r="D29" s="11"/>
      <c r="E29" s="12"/>
      <c r="F29" s="103"/>
      <c r="G29" s="104"/>
      <c r="H29" s="105"/>
      <c r="I29" s="1"/>
      <c r="J29" s="13"/>
      <c r="K29" s="14"/>
      <c r="L29" s="14"/>
      <c r="M29" s="14"/>
    </row>
    <row r="30" spans="2:13" x14ac:dyDescent="0.15">
      <c r="B30" s="106" t="s">
        <v>42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8"/>
    </row>
    <row r="31" spans="2:13" x14ac:dyDescent="0.15">
      <c r="B31" s="106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8"/>
    </row>
    <row r="32" spans="2:13" ht="75.75" customHeight="1" x14ac:dyDescent="0.15">
      <c r="B32" s="109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1"/>
    </row>
    <row r="33" spans="2:25" ht="13.2" x14ac:dyDescent="0.15">
      <c r="B33" s="2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</row>
    <row r="37" spans="2:25" ht="16.2" x14ac:dyDescent="0.15">
      <c r="N37" s="41"/>
      <c r="O37" s="41"/>
      <c r="P37" s="41"/>
      <c r="Q37" s="32"/>
      <c r="R37" s="32"/>
      <c r="S37" s="32"/>
      <c r="T37" s="32"/>
      <c r="U37" s="32"/>
      <c r="V37" s="32"/>
      <c r="W37" s="36"/>
      <c r="X37" s="36"/>
      <c r="Y37" s="36"/>
    </row>
    <row r="38" spans="2:25" ht="12" customHeight="1" x14ac:dyDescent="0.15">
      <c r="N38" s="41"/>
      <c r="O38" s="41"/>
      <c r="P38" s="41"/>
      <c r="Q38" s="98"/>
      <c r="R38" s="98"/>
      <c r="S38" s="113"/>
      <c r="T38" s="113"/>
      <c r="U38" s="113"/>
      <c r="V38" s="113"/>
      <c r="W38" s="114"/>
      <c r="X38" s="114"/>
      <c r="Y38" s="112"/>
    </row>
    <row r="39" spans="2:25" ht="12" customHeight="1" x14ac:dyDescent="0.15">
      <c r="N39" s="41"/>
      <c r="O39" s="41"/>
      <c r="P39" s="41"/>
      <c r="Q39" s="98"/>
      <c r="R39" s="98"/>
      <c r="S39" s="113"/>
      <c r="T39" s="113"/>
      <c r="U39" s="113"/>
      <c r="V39" s="113"/>
      <c r="W39" s="114"/>
      <c r="X39" s="114"/>
      <c r="Y39" s="112"/>
    </row>
    <row r="40" spans="2:25" ht="16.2" x14ac:dyDescent="0.15">
      <c r="N40" s="41"/>
      <c r="O40" s="41"/>
      <c r="P40" s="41"/>
      <c r="Q40" s="37"/>
      <c r="R40" s="37"/>
      <c r="S40" s="38"/>
      <c r="T40" s="38"/>
      <c r="U40" s="38"/>
      <c r="V40" s="38"/>
      <c r="W40" s="39"/>
      <c r="X40" s="39"/>
      <c r="Y40" s="40"/>
    </row>
  </sheetData>
  <mergeCells count="47">
    <mergeCell ref="B6:D6"/>
    <mergeCell ref="E6:H6"/>
    <mergeCell ref="J6:K6"/>
    <mergeCell ref="B7:D8"/>
    <mergeCell ref="E7:H7"/>
    <mergeCell ref="I7:J9"/>
    <mergeCell ref="K7:M9"/>
    <mergeCell ref="E8:H8"/>
    <mergeCell ref="B9:D9"/>
    <mergeCell ref="E9:H9"/>
    <mergeCell ref="L2:M2"/>
    <mergeCell ref="B3:M3"/>
    <mergeCell ref="L4:M4"/>
    <mergeCell ref="B5:D5"/>
    <mergeCell ref="E5:H5"/>
    <mergeCell ref="J5:K5"/>
    <mergeCell ref="U38:U39"/>
    <mergeCell ref="K10:M10"/>
    <mergeCell ref="K11:M13"/>
    <mergeCell ref="B10:J10"/>
    <mergeCell ref="B11:J13"/>
    <mergeCell ref="B25:B26"/>
    <mergeCell ref="C25:E25"/>
    <mergeCell ref="F25:H26"/>
    <mergeCell ref="I25:I26"/>
    <mergeCell ref="J25:J26"/>
    <mergeCell ref="K25:M25"/>
    <mergeCell ref="F27:H27"/>
    <mergeCell ref="F28:H28"/>
    <mergeCell ref="F29:H29"/>
    <mergeCell ref="B30:M32"/>
    <mergeCell ref="V38:V39"/>
    <mergeCell ref="W38:W39"/>
    <mergeCell ref="X38:X39"/>
    <mergeCell ref="Y38:Y39"/>
    <mergeCell ref="B14:M14"/>
    <mergeCell ref="D15:M15"/>
    <mergeCell ref="D16:M16"/>
    <mergeCell ref="D17:M17"/>
    <mergeCell ref="D18:M18"/>
    <mergeCell ref="D19:M19"/>
    <mergeCell ref="D20:M20"/>
    <mergeCell ref="D21:M21"/>
    <mergeCell ref="Q38:Q39"/>
    <mergeCell ref="R38:R39"/>
    <mergeCell ref="S38:S39"/>
    <mergeCell ref="T38:T39"/>
  </mergeCells>
  <phoneticPr fontId="1"/>
  <dataValidations count="1">
    <dataValidation type="list" allowBlank="1" showInputMessage="1" showErrorMessage="1" sqref="C15:C21" xr:uid="{97E5B2DE-A463-49F0-9CB8-B33871D46DE6}">
      <formula1>"〇"</formula1>
    </dataValidation>
  </dataValidations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技術経歴書</vt:lpstr>
      <vt:lpstr>技術経歴書記載例</vt:lpstr>
      <vt:lpstr>技術経歴書!Print_Area</vt:lpstr>
      <vt:lpstr>技術経歴書記載例!Print_Area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昭宏 竹腰</dc:creator>
  <cp:lastModifiedBy>TKS23 小宮純</cp:lastModifiedBy>
  <cp:lastPrinted>2025-04-25T08:08:44Z</cp:lastPrinted>
  <dcterms:created xsi:type="dcterms:W3CDTF">2025-02-03T05:22:14Z</dcterms:created>
  <dcterms:modified xsi:type="dcterms:W3CDTF">2026-06-24T00:29:03Z</dcterms:modified>
</cp:coreProperties>
</file>